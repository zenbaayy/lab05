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ource" sheetId="2" state="visible" r:id="rId4"/>
    <sheet name="Register" sheetId="3" state="visible" r:id="rId5"/>
    <sheet name="Invention" sheetId="4" state="visible" r:id="rId6"/>
    <sheet name="Testable" sheetId="5" state="visible" r:id="rId7"/>
    <sheet name="Dup_Conflic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<sst xmlns="http://schemas.openxmlformats.org/spreadsheetml/2006/main" count="130" uniqueCount="115">
  <si>
    <t xml:space="preserve">Lab 5 - Requirements Register (table tool)</t>
  </si>
  <si>
    <t xml:space="preserve">Zainab | SP24-BSE-034 | Traceability check is done by formula against the Source sheet</t>
  </si>
  <si>
    <t xml:space="preserve">Blue text = cells you edit. The 'Check' column searches the quote in the Source sheet and says VERIFIED / NOT FOUND / UNSOURCED.</t>
  </si>
  <si>
    <t xml:space="preserve">Sheets: Source, Register (Task 1), Invention (Task 2), Testable (Task 3), Dup_Conflict (Task 4).</t>
  </si>
  <si>
    <t xml:space="preserve">The diff-tool cross-check is in the lab5/diff folder of the repo (run diff on source vs extraction).</t>
  </si>
  <si>
    <t xml:space="preserve">Sample model outputs are placeholders. Replace with verbatim text from your own two runs.</t>
  </si>
  <si>
    <t xml:space="preserve">Stakeholder notes (single cell used by the Check formula)</t>
  </si>
  <si>
    <t xml:space="preserve">We need the app to let students log in with their university email. It should be fast and secure. Students register for events and get a reminder before each event. Admins can add or remove events. Login must also be quick. The system should handle many users.</t>
  </si>
  <si>
    <t xml:space="preserve">S1: We need the app to let students log in with their university email.</t>
  </si>
  <si>
    <t xml:space="preserve">S2: It should be fast and secure.</t>
  </si>
  <si>
    <t xml:space="preserve">S3: Students register for events and get a reminder before each event.</t>
  </si>
  <si>
    <t xml:space="preserve">S4: Admins can add or remove events.</t>
  </si>
  <si>
    <t xml:space="preserve">S5: Login must also be quick.</t>
  </si>
  <si>
    <t xml:space="preserve">S6: The system should handle many users.</t>
  </si>
  <si>
    <t xml:space="preserve">Task 1 - Requirements register with hard traceability</t>
  </si>
  <si>
    <t xml:space="preserve">ID</t>
  </si>
  <si>
    <t xml:space="preserve">Requirement</t>
  </si>
  <si>
    <t xml:space="preserve">Type</t>
  </si>
  <si>
    <t xml:space="preserve">Source quote (verbatim)</t>
  </si>
  <si>
    <t xml:space="preserve">Sentence</t>
  </si>
  <si>
    <t xml:space="preserve">Check</t>
  </si>
  <si>
    <t xml:space="preserve">R1</t>
  </si>
  <si>
    <t xml:space="preserve">Students can log in with their university email</t>
  </si>
  <si>
    <t xml:space="preserve">Functional</t>
  </si>
  <si>
    <t xml:space="preserve">let students log in with their university email</t>
  </si>
  <si>
    <t xml:space="preserve">S1</t>
  </si>
  <si>
    <t xml:space="preserve">R2</t>
  </si>
  <si>
    <t xml:space="preserve">The system is fast</t>
  </si>
  <si>
    <t xml:space="preserve">Non-Functional</t>
  </si>
  <si>
    <t xml:space="preserve">It should be fast</t>
  </si>
  <si>
    <t xml:space="preserve">S2</t>
  </si>
  <si>
    <t xml:space="preserve">R3</t>
  </si>
  <si>
    <t xml:space="preserve">The system is secure</t>
  </si>
  <si>
    <t xml:space="preserve">and secure</t>
  </si>
  <si>
    <t xml:space="preserve">R4</t>
  </si>
  <si>
    <t xml:space="preserve">Students can register for events</t>
  </si>
  <si>
    <t xml:space="preserve">Students register for events</t>
  </si>
  <si>
    <t xml:space="preserve">S3</t>
  </si>
  <si>
    <t xml:space="preserve">R5</t>
  </si>
  <si>
    <t xml:space="preserve">Students receive a reminder before each event</t>
  </si>
  <si>
    <t xml:space="preserve">get a reminder before each event</t>
  </si>
  <si>
    <t xml:space="preserve">R6</t>
  </si>
  <si>
    <t xml:space="preserve">Admins can add events</t>
  </si>
  <si>
    <t xml:space="preserve">Admins can add</t>
  </si>
  <si>
    <t xml:space="preserve">S4</t>
  </si>
  <si>
    <t xml:space="preserve">R7</t>
  </si>
  <si>
    <t xml:space="preserve">Admins can remove events</t>
  </si>
  <si>
    <t xml:space="preserve">or remove events</t>
  </si>
  <si>
    <t xml:space="preserve">R8</t>
  </si>
  <si>
    <t xml:space="preserve">Login is quick (duplicate of R2)</t>
  </si>
  <si>
    <t xml:space="preserve">Login must also be quick</t>
  </si>
  <si>
    <t xml:space="preserve">S5</t>
  </si>
  <si>
    <t xml:space="preserve">R9</t>
  </si>
  <si>
    <t xml:space="preserve">The system handles many users</t>
  </si>
  <si>
    <t xml:space="preserve">The system should handle many users</t>
  </si>
  <si>
    <t xml:space="preserve">S6</t>
  </si>
  <si>
    <t xml:space="preserve">U1</t>
  </si>
  <si>
    <t xml:space="preserve">The system should support multiple languages</t>
  </si>
  <si>
    <t xml:space="preserve">UNSOURCED</t>
  </si>
  <si>
    <t xml:space="preserve">-</t>
  </si>
  <si>
    <t xml:space="preserve">U2</t>
  </si>
  <si>
    <t xml:space="preserve">The system should be available as a mobile app on iOS and Android</t>
  </si>
  <si>
    <t xml:space="preserve">Functional count</t>
  </si>
  <si>
    <t xml:space="preserve">Non-Functional count (incl. unsourced)</t>
  </si>
  <si>
    <t xml:space="preserve">VERIFIED rows</t>
  </si>
  <si>
    <t xml:space="preserve">UNSOURCED rows (the finding - do not delete)</t>
  </si>
  <si>
    <t xml:space="preserve">Task 2 - Catching the model inventing</t>
  </si>
  <si>
    <t xml:space="preserve">Run</t>
  </si>
  <si>
    <t xml:space="preserve">Prompt</t>
  </si>
  <si>
    <t xml:space="preserve">Invented item (verbatim)</t>
  </si>
  <si>
    <t xml:space="preserve">Probably over-read</t>
  </si>
  <si>
    <t xml:space="preserve">1</t>
  </si>
  <si>
    <t xml:space="preserve">Extract all software requirements from the text below as a numbered list. Do not invent requirements that are not there.</t>
  </si>
  <si>
    <t xml:space="preserve">The system should support multiple languages.</t>
  </si>
  <si>
    <t xml:space="preserve">'university email' / 'students' made the model picture a diverse student body</t>
  </si>
  <si>
    <t xml:space="preserve">2</t>
  </si>
  <si>
    <t xml:space="preserve">Act as a business analyst. List every requirement in these notes, one per line, in the form 'The system shall...'.</t>
  </si>
  <si>
    <t xml:space="preserve">The system shall support multiple languages.</t>
  </si>
  <si>
    <t xml:space="preserve">Same trigger as run 1</t>
  </si>
  <si>
    <t xml:space="preserve">(same as above)</t>
  </si>
  <si>
    <t xml:space="preserve">The system shall be accessible on mobile devices.</t>
  </si>
  <si>
    <t xml:space="preserve">'app' made the model assume mobile platforms</t>
  </si>
  <si>
    <t xml:space="preserve">Repeatable invention?</t>
  </si>
  <si>
    <t xml:space="preserve">Note</t>
  </si>
  <si>
    <t xml:space="preserve">Replace the sample runs with the verbatim output from your own two runs.</t>
  </si>
  <si>
    <t xml:space="preserve">Task 3 - Testable rewrites with a measurement</t>
  </si>
  <si>
    <t xml:space="preserve">Original text</t>
  </si>
  <si>
    <t xml:space="preserve">Rewritten requirement (number + condition + tolerance)</t>
  </si>
  <si>
    <t xml:space="preserve">Measurement procedure</t>
  </si>
  <si>
    <t xml:space="preserve">S2: fast</t>
  </si>
  <si>
    <t xml:space="preserve">95% of event-list loads complete within 2 s (never above 3 s) on 10 Mbps campus Wi-Fi with 500 events</t>
  </si>
  <si>
    <t xml:space="preserve">Run 100 scripted loads with a load tool (e.g. k6) and read the 95th-percentile time</t>
  </si>
  <si>
    <t xml:space="preserve">S5: quick</t>
  </si>
  <si>
    <t xml:space="preserve">95% of logins complete within 2 s (max 5 s) with 100 simultaneous users</t>
  </si>
  <si>
    <t xml:space="preserve">Run 200 logins at 100 concurrent users on staging and report the 95th percentile and maximum</t>
  </si>
  <si>
    <t xml:space="preserve">S2: secure</t>
  </si>
  <si>
    <t xml:space="preserve">Passwords stored as salted bcrypt (cost 12+), TLS 1.2+, lockout for 15 min after 5 failed logins, zero high-severity OWASP ZAP findings</t>
  </si>
  <si>
    <t xml:space="preserve">Inspect the stored hash, make 6 wrong logins to confirm lockout, check TLS version, run a ZAP baseline scan</t>
  </si>
  <si>
    <t xml:space="preserve">S6: many users</t>
  </si>
  <si>
    <t xml:space="preserve">5,000 concurrent users for 30 min, 95% of responses under 2 s, error rate below 1% (plus or minus 10% on user count)</t>
  </si>
  <si>
    <t xml:space="preserve">Ramp up 5,000 virtual users against staging and read the 95th-percentile time and error rate</t>
  </si>
  <si>
    <t xml:space="preserve">S3: a reminder</t>
  </si>
  <si>
    <t xml:space="preserve">Reminder sent 24 h before start (plus or minus 15 min) for 99% of registrations</t>
  </si>
  <si>
    <t xml:space="preserve">Create 100 test registrations and compare mail-log send times to event start times</t>
  </si>
  <si>
    <t xml:space="preserve">Task 4 - Duplicate and contradiction</t>
  </si>
  <si>
    <t xml:space="preserve">Item</t>
  </si>
  <si>
    <t xml:space="preserve">Content</t>
  </si>
  <si>
    <t xml:space="preserve">Duplicate - first place</t>
  </si>
  <si>
    <t xml:space="preserve">S2: "It should be fast"</t>
  </si>
  <si>
    <t xml:space="preserve">Duplicate - second place</t>
  </si>
  <si>
    <t xml:space="preserve">S5: "Login must also be quick"</t>
  </si>
  <si>
    <t xml:space="preserve">Conflict</t>
  </si>
  <si>
    <t xml:space="preserve">"secure" (S2) and "quick" (S5) cannot both be fully satisfied as written: slow password hashing, lockouts or a second verification step add seconds to login, and no limits are given for either.</t>
  </si>
  <si>
    <t xml:space="preserve">Question for the stakeholder</t>
  </si>
  <si>
    <t xml:space="preserve">If a second verification step makes login take about 4 seconds, is that acceptable, or must login stay under 2 seconds even if protection is weaker?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</si>
</sst>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F5F73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F5F73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5F73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1" t="s">
        <v>6</v>
      </c>
    </row>
    <row r="2" customFormat="false" ht="79.5" hidden="false" customHeight="true" outlineLevel="0" collapsed="false">
      <c r="A2" s="4" t="s">
        <v>7</v>
      </c>
    </row>
    <row r="4" customFormat="false" ht="15" hidden="false" customHeight="false" outlineLevel="0" collapsed="false">
      <c r="A4" s="3" t="s">
        <v>8</v>
      </c>
    </row>
    <row r="5" customFormat="false" ht="15" hidden="false" customHeight="false" outlineLevel="0" collapsed="false">
      <c r="A5" s="3" t="s">
        <v>9</v>
      </c>
    </row>
    <row r="6" customFormat="false" ht="15" hidden="false" customHeight="false" outlineLevel="0" collapsed="false">
      <c r="A6" s="3" t="s">
        <v>10</v>
      </c>
    </row>
    <row r="7" customFormat="false" ht="15" hidden="false" customHeight="false" outlineLevel="0" collapsed="false">
      <c r="A7" s="3" t="s">
        <v>11</v>
      </c>
    </row>
    <row r="8" customFormat="false" ht="15" hidden="false" customHeight="false" outlineLevel="0" collapsed="false">
      <c r="A8" s="3" t="s">
        <v>12</v>
      </c>
    </row>
    <row r="9" customFormat="false" ht="15" hidden="false" customHeight="false" outlineLevel="0" collapsed="false">
      <c r="A9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48"/>
    <col collapsed="false" customWidth="true" hidden="false" outlineLevel="0" max="5" min="5" style="0" width="10"/>
    <col collapsed="false" customWidth="true" hidden="false" outlineLevel="0" max="6" min="6" style="0" width="14"/>
  </cols>
  <sheetData>
    <row r="1" customFormat="false" ht="16.15" hidden="false" customHeight="false" outlineLevel="0" collapsed="false">
      <c r="A1" s="1" t="s">
        <v>14</v>
      </c>
    </row>
    <row r="3" customFormat="false" ht="15" hidden="false" customHeight="false" outlineLevel="0" collapsed="false">
      <c r="A3" s="5" t="s">
        <v>15</v>
      </c>
      <c r="B3" s="5" t="s">
        <v>16</v>
      </c>
      <c r="C3" s="5" t="s">
        <v>17</v>
      </c>
      <c r="D3" s="5" t="s">
        <v>18</v>
      </c>
      <c r="E3" s="5" t="s">
        <v>19</v>
      </c>
      <c r="F3" s="5" t="s">
        <v>20</v>
      </c>
    </row>
    <row r="4" customFormat="false" ht="15" hidden="false" customHeight="false" outlineLevel="0" collapsed="false">
      <c r="A4" s="6" t="s">
        <v>21</v>
      </c>
      <c r="B4" s="7" t="s">
        <v>22</v>
      </c>
      <c r="C4" s="7" t="s">
        <v>23</v>
      </c>
      <c r="D4" s="7" t="s">
        <v>24</v>
      </c>
      <c r="E4" s="7" t="s">
        <v>25</v>
      </c>
      <c r="F4" s="6" t="str">
        <f aca="false">IF(D4="UNSOURCED","UNSOURCED",IF(ISNUMBER(SEARCH(D4,Source!$A$2)),"VERIFIED","NOT FOUND"))</f>
        <v>VERIFIED</v>
      </c>
    </row>
    <row r="5" customFormat="false" ht="15" hidden="false" customHeight="false" outlineLevel="0" collapsed="false">
      <c r="A5" s="6" t="s">
        <v>26</v>
      </c>
      <c r="B5" s="7" t="s">
        <v>27</v>
      </c>
      <c r="C5" s="7" t="s">
        <v>28</v>
      </c>
      <c r="D5" s="7" t="s">
        <v>29</v>
      </c>
      <c r="E5" s="7" t="s">
        <v>30</v>
      </c>
      <c r="F5" s="6" t="str">
        <f aca="false">IF(D5="UNSOURCED","UNSOURCED",IF(ISNUMBER(SEARCH(D5,Source!$A$2)),"VERIFIED","NOT FOUND"))</f>
        <v>VERIFIED</v>
      </c>
    </row>
    <row r="6" customFormat="false" ht="15" hidden="false" customHeight="false" outlineLevel="0" collapsed="false">
      <c r="A6" s="6" t="s">
        <v>31</v>
      </c>
      <c r="B6" s="7" t="s">
        <v>32</v>
      </c>
      <c r="C6" s="7" t="s">
        <v>28</v>
      </c>
      <c r="D6" s="7" t="s">
        <v>33</v>
      </c>
      <c r="E6" s="7" t="s">
        <v>30</v>
      </c>
      <c r="F6" s="6" t="str">
        <f aca="false">IF(D6="UNSOURCED","UNSOURCED",IF(ISNUMBER(SEARCH(D6,Source!$A$2)),"VERIFIED","NOT FOUND"))</f>
        <v>VERIFIED</v>
      </c>
    </row>
    <row r="7" customFormat="false" ht="15" hidden="false" customHeight="false" outlineLevel="0" collapsed="false">
      <c r="A7" s="6" t="s">
        <v>34</v>
      </c>
      <c r="B7" s="7" t="s">
        <v>35</v>
      </c>
      <c r="C7" s="7" t="s">
        <v>23</v>
      </c>
      <c r="D7" s="7" t="s">
        <v>36</v>
      </c>
      <c r="E7" s="7" t="s">
        <v>37</v>
      </c>
      <c r="F7" s="6" t="str">
        <f aca="false">IF(D7="UNSOURCED","UNSOURCED",IF(ISNUMBER(SEARCH(D7,Source!$A$2)),"VERIFIED","NOT FOUND"))</f>
        <v>VERIFIED</v>
      </c>
    </row>
    <row r="8" customFormat="false" ht="15" hidden="false" customHeight="false" outlineLevel="0" collapsed="false">
      <c r="A8" s="6" t="s">
        <v>38</v>
      </c>
      <c r="B8" s="7" t="s">
        <v>39</v>
      </c>
      <c r="C8" s="7" t="s">
        <v>23</v>
      </c>
      <c r="D8" s="7" t="s">
        <v>40</v>
      </c>
      <c r="E8" s="7" t="s">
        <v>37</v>
      </c>
      <c r="F8" s="6" t="str">
        <f aca="false">IF(D8="UNSOURCED","UNSOURCED",IF(ISNUMBER(SEARCH(D8,Source!$A$2)),"VERIFIED","NOT FOUND"))</f>
        <v>VERIFIED</v>
      </c>
    </row>
    <row r="9" customFormat="false" ht="15" hidden="false" customHeight="false" outlineLevel="0" collapsed="false">
      <c r="A9" s="6" t="s">
        <v>41</v>
      </c>
      <c r="B9" s="7" t="s">
        <v>42</v>
      </c>
      <c r="C9" s="7" t="s">
        <v>23</v>
      </c>
      <c r="D9" s="7" t="s">
        <v>43</v>
      </c>
      <c r="E9" s="7" t="s">
        <v>44</v>
      </c>
      <c r="F9" s="6" t="str">
        <f aca="false">IF(D9="UNSOURCED","UNSOURCED",IF(ISNUMBER(SEARCH(D9,Source!$A$2)),"VERIFIED","NOT FOUND"))</f>
        <v>VERIFIED</v>
      </c>
    </row>
    <row r="10" customFormat="false" ht="15" hidden="false" customHeight="false" outlineLevel="0" collapsed="false">
      <c r="A10" s="6" t="s">
        <v>45</v>
      </c>
      <c r="B10" s="7" t="s">
        <v>46</v>
      </c>
      <c r="C10" s="7" t="s">
        <v>23</v>
      </c>
      <c r="D10" s="7" t="s">
        <v>47</v>
      </c>
      <c r="E10" s="7" t="s">
        <v>44</v>
      </c>
      <c r="F10" s="6" t="str">
        <f aca="false">IF(D10="UNSOURCED","UNSOURCED",IF(ISNUMBER(SEARCH(D10,Source!$A$2)),"VERIFIED","NOT FOUND"))</f>
        <v>VERIFIED</v>
      </c>
    </row>
    <row r="11" customFormat="false" ht="15" hidden="false" customHeight="false" outlineLevel="0" collapsed="false">
      <c r="A11" s="6" t="s">
        <v>48</v>
      </c>
      <c r="B11" s="7" t="s">
        <v>49</v>
      </c>
      <c r="C11" s="7" t="s">
        <v>28</v>
      </c>
      <c r="D11" s="7" t="s">
        <v>50</v>
      </c>
      <c r="E11" s="7" t="s">
        <v>51</v>
      </c>
      <c r="F11" s="6" t="str">
        <f aca="false">IF(D11="UNSOURCED","UNSOURCED",IF(ISNUMBER(SEARCH(D11,Source!$A$2)),"VERIFIED","NOT FOUND"))</f>
        <v>VERIFIED</v>
      </c>
    </row>
    <row r="12" customFormat="false" ht="15" hidden="false" customHeight="false" outlineLevel="0" collapsed="false">
      <c r="A12" s="6" t="s">
        <v>52</v>
      </c>
      <c r="B12" s="7" t="s">
        <v>53</v>
      </c>
      <c r="C12" s="7" t="s">
        <v>28</v>
      </c>
      <c r="D12" s="7" t="s">
        <v>54</v>
      </c>
      <c r="E12" s="7" t="s">
        <v>55</v>
      </c>
      <c r="F12" s="6" t="str">
        <f aca="false">IF(D12="UNSOURCED","UNSOURCED",IF(ISNUMBER(SEARCH(D12,Source!$A$2)),"VERIFIED","NOT FOUND"))</f>
        <v>VERIFIED</v>
      </c>
    </row>
    <row r="13" customFormat="false" ht="15" hidden="false" customHeight="false" outlineLevel="0" collapsed="false">
      <c r="A13" s="6" t="s">
        <v>56</v>
      </c>
      <c r="B13" s="7" t="s">
        <v>57</v>
      </c>
      <c r="C13" s="7" t="s">
        <v>28</v>
      </c>
      <c r="D13" s="7" t="s">
        <v>58</v>
      </c>
      <c r="E13" s="7" t="s">
        <v>59</v>
      </c>
      <c r="F13" s="6" t="str">
        <f aca="false">IF(D13="UNSOURCED","UNSOURCED",IF(ISNUMBER(SEARCH(D13,Source!$A$2)),"VERIFIED","NOT FOUND"))</f>
        <v>UNSOURCED</v>
      </c>
    </row>
    <row r="14" customFormat="false" ht="23.85" hidden="false" customHeight="false" outlineLevel="0" collapsed="false">
      <c r="A14" s="6" t="s">
        <v>60</v>
      </c>
      <c r="B14" s="7" t="s">
        <v>61</v>
      </c>
      <c r="C14" s="7" t="s">
        <v>28</v>
      </c>
      <c r="D14" s="7" t="s">
        <v>58</v>
      </c>
      <c r="E14" s="7" t="s">
        <v>59</v>
      </c>
      <c r="F14" s="6" t="str">
        <f aca="false">IF(D14="UNSOURCED","UNSOURCED",IF(ISNUMBER(SEARCH(D14,Source!$A$2)),"VERIFIED","NOT FOUND"))</f>
        <v>UNSOURCED</v>
      </c>
    </row>
    <row r="16" customFormat="false" ht="15" hidden="false" customHeight="false" outlineLevel="0" collapsed="false">
      <c r="B16" s="3" t="s">
        <v>62</v>
      </c>
      <c r="C16" s="3" t="n">
        <f aca="false">COUNTIF(C4:C14,"Functional")</f>
        <v>5</v>
      </c>
    </row>
    <row r="17" customFormat="false" ht="15" hidden="false" customHeight="false" outlineLevel="0" collapsed="false">
      <c r="B17" s="3" t="s">
        <v>63</v>
      </c>
      <c r="C17" s="3" t="n">
        <f aca="false">COUNTIF(C4:C14,"Non-Functional")</f>
        <v>6</v>
      </c>
    </row>
    <row r="18" customFormat="false" ht="15" hidden="false" customHeight="false" outlineLevel="0" collapsed="false">
      <c r="B18" s="3" t="s">
        <v>64</v>
      </c>
      <c r="C18" s="3" t="n">
        <f aca="false">COUNTIF(F4:F14,"VERIFIED")</f>
        <v>9</v>
      </c>
    </row>
    <row r="19" customFormat="false" ht="15" hidden="false" customHeight="false" outlineLevel="0" collapsed="false">
      <c r="B19" s="3" t="s">
        <v>65</v>
      </c>
      <c r="C19" s="3" t="n">
        <f aca="false">COUNTIF(F4:F14,"UNSOURCED")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70"/>
    <col collapsed="false" customWidth="true" hidden="false" outlineLevel="0" max="3" min="3" style="0" width="50"/>
    <col collapsed="false" customWidth="true" hidden="false" outlineLevel="0" max="4" min="4" style="0" width="55"/>
  </cols>
  <sheetData>
    <row r="1" customFormat="false" ht="16.15" hidden="false" customHeight="false" outlineLevel="0" collapsed="false">
      <c r="A1" s="1" t="s">
        <v>66</v>
      </c>
    </row>
    <row r="3" customFormat="false" ht="15" hidden="false" customHeight="false" outlineLevel="0" collapsed="false">
      <c r="A3" s="5" t="s">
        <v>67</v>
      </c>
      <c r="B3" s="5" t="s">
        <v>68</v>
      </c>
      <c r="C3" s="5" t="s">
        <v>69</v>
      </c>
      <c r="D3" s="5" t="s">
        <v>70</v>
      </c>
    </row>
    <row r="4" customFormat="false" ht="23.85" hidden="false" customHeight="false" outlineLevel="0" collapsed="false">
      <c r="A4" s="6" t="s">
        <v>71</v>
      </c>
      <c r="B4" s="7" t="s">
        <v>72</v>
      </c>
      <c r="C4" s="7" t="s">
        <v>73</v>
      </c>
      <c r="D4" s="7" t="s">
        <v>74</v>
      </c>
    </row>
    <row r="5" customFormat="false" ht="23.85" hidden="false" customHeight="false" outlineLevel="0" collapsed="false">
      <c r="A5" s="6" t="s">
        <v>75</v>
      </c>
      <c r="B5" s="7" t="s">
        <v>76</v>
      </c>
      <c r="C5" s="7" t="s">
        <v>77</v>
      </c>
      <c r="D5" s="7" t="s">
        <v>78</v>
      </c>
    </row>
    <row r="6" customFormat="false" ht="15" hidden="false" customHeight="false" outlineLevel="0" collapsed="false">
      <c r="A6" s="6" t="s">
        <v>75</v>
      </c>
      <c r="B6" s="7" t="s">
        <v>79</v>
      </c>
      <c r="C6" s="7" t="s">
        <v>80</v>
      </c>
      <c r="D6" s="7" t="s">
        <v>81</v>
      </c>
    </row>
    <row r="8" customFormat="false" ht="15" hidden="false" customHeight="false" outlineLevel="0" collapsed="false">
      <c r="A8" s="8" t="s">
        <v>82</v>
      </c>
      <c r="B8" s="3" t="str">
        <f aca="false">IF(COUNTIF(C4:C6,"*multiple languages*")&gt;=2,"YES - appeared in both runs","No")</f>
        <v>YES - appeared in both runs</v>
      </c>
    </row>
    <row r="9" customFormat="false" ht="15" hidden="false" customHeight="false" outlineLevel="0" collapsed="false">
      <c r="A9" s="3" t="s">
        <v>83</v>
      </c>
      <c r="B9" s="9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75"/>
  </cols>
  <sheetData>
    <row r="1" customFormat="false" ht="16.15" hidden="false" customHeight="false" outlineLevel="0" collapsed="false">
      <c r="A1" s="1" t="s">
        <v>85</v>
      </c>
    </row>
    <row r="3" customFormat="false" ht="15" hidden="false" customHeight="false" outlineLevel="0" collapsed="false">
      <c r="A3" s="5" t="s">
        <v>86</v>
      </c>
      <c r="B3" s="5" t="s">
        <v>87</v>
      </c>
      <c r="C3" s="5" t="s">
        <v>88</v>
      </c>
    </row>
    <row r="4" customFormat="false" ht="23.85" hidden="false" customHeight="false" outlineLevel="0" collapsed="false">
      <c r="A4" s="6" t="s">
        <v>89</v>
      </c>
      <c r="B4" s="7" t="s">
        <v>90</v>
      </c>
      <c r="C4" s="7" t="s">
        <v>91</v>
      </c>
    </row>
    <row r="5" customFormat="false" ht="23.85" hidden="false" customHeight="false" outlineLevel="0" collapsed="false">
      <c r="A5" s="6" t="s">
        <v>92</v>
      </c>
      <c r="B5" s="7" t="s">
        <v>93</v>
      </c>
      <c r="C5" s="7" t="s">
        <v>94</v>
      </c>
    </row>
    <row r="6" customFormat="false" ht="23.85" hidden="false" customHeight="false" outlineLevel="0" collapsed="false">
      <c r="A6" s="6" t="s">
        <v>95</v>
      </c>
      <c r="B6" s="7" t="s">
        <v>96</v>
      </c>
      <c r="C6" s="7" t="s">
        <v>97</v>
      </c>
    </row>
    <row r="7" customFormat="false" ht="23.85" hidden="false" customHeight="false" outlineLevel="0" collapsed="false">
      <c r="A7" s="6" t="s">
        <v>98</v>
      </c>
      <c r="B7" s="7" t="s">
        <v>99</v>
      </c>
      <c r="C7" s="7" t="s">
        <v>100</v>
      </c>
    </row>
    <row r="8" customFormat="false" ht="15" hidden="false" customHeight="false" outlineLevel="0" collapsed="false">
      <c r="A8" s="6" t="s">
        <v>101</v>
      </c>
      <c r="B8" s="7" t="s">
        <v>102</v>
      </c>
      <c r="C8" s="7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0"/>
  </cols>
  <sheetData>
    <row r="1" customFormat="false" ht="16.15" hidden="false" customHeight="false" outlineLevel="0" collapsed="false">
      <c r="A1" s="1" t="s">
        <v>104</v>
      </c>
    </row>
    <row r="3" customFormat="false" ht="15" hidden="false" customHeight="false" outlineLevel="0" collapsed="false">
      <c r="A3" s="5" t="s">
        <v>105</v>
      </c>
      <c r="B3" s="5" t="s">
        <v>106</v>
      </c>
    </row>
    <row r="4" customFormat="false" ht="15" hidden="false" customHeight="false" outlineLevel="0" collapsed="false">
      <c r="A4" s="6" t="s">
        <v>107</v>
      </c>
      <c r="B4" s="7" t="s">
        <v>108</v>
      </c>
    </row>
    <row r="5" customFormat="false" ht="15" hidden="false" customHeight="false" outlineLevel="0" collapsed="false">
      <c r="A5" s="6" t="s">
        <v>109</v>
      </c>
      <c r="B5" s="7" t="s">
        <v>110</v>
      </c>
    </row>
    <row r="6" customFormat="false" ht="23.85" hidden="false" customHeight="false" outlineLevel="0" collapsed="false">
      <c r="A6" s="6" t="s">
        <v>111</v>
      </c>
      <c r="B6" s="7" t="s">
        <v>112</v>
      </c>
    </row>
    <row r="7" customFormat="false" ht="23.85" hidden="false" customHeight="false" outlineLevel="0" collapsed="false">
      <c r="A7" s="6" t="s">
        <v>113</v>
      </c>
      <c r="B7" s="7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2026-10-05T04:49:18Z</dcterms:created>
  <dc:creator>openpyxl</dc:creator>
  <dc:description/>
  <dc:language>en-US</dc:language>
  <cp:lastModifiedBy/>
  <dcterms:modified xsi:type="dcterms:W3CDTF">2026-10-05T04:49:18Z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